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rand Identity" sheetId="1" state="visible" r:id="rId1"/>
    <sheet xmlns:r="http://schemas.openxmlformats.org/officeDocument/2006/relationships" name="Shopping List" sheetId="2" state="visible" r:id="rId2"/>
    <sheet xmlns:r="http://schemas.openxmlformats.org/officeDocument/2006/relationships" name="Cost Per Gloss" sheetId="3" state="visible" r:id="rId3"/>
    <sheet xmlns:r="http://schemas.openxmlformats.org/officeDocument/2006/relationships" name="Pricing &amp; Profit" sheetId="4" state="visible" r:id="rId4"/>
    <sheet xmlns:r="http://schemas.openxmlformats.org/officeDocument/2006/relationships" name="Batch Planner" sheetId="5" state="visible" r:id="rId5"/>
    <sheet xmlns:r="http://schemas.openxmlformats.org/officeDocument/2006/relationships" name="Consignment Tracker" sheetId="6" state="visible" r:id="rId6"/>
    <sheet xmlns:r="http://schemas.openxmlformats.org/officeDocument/2006/relationships" name="Container Sourcin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0.0%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C0397B"/>
      <sz val="11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1A5C1A"/>
      <sz val="11"/>
    </font>
    <font>
      <name val="Arial"/>
      <charset val="1"/>
      <family val="0"/>
      <b val="1"/>
      <color rgb="FFC0392B"/>
      <sz val="11"/>
    </font>
    <font>
      <name val="Arial"/>
      <charset val="1"/>
      <family val="0"/>
      <b val="1"/>
      <color rgb="FFC0397B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A5C1A"/>
      <sz val="10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b val="1"/>
      <color rgb="FF008000"/>
      <sz val="11"/>
    </font>
    <font>
      <name val="Arial"/>
      <charset val="1"/>
      <family val="0"/>
      <i val="1"/>
      <color rgb="FFC0397B"/>
      <sz val="10"/>
    </font>
    <font>
      <name val="Arial"/>
      <charset val="1"/>
      <family val="0"/>
      <b val="1"/>
      <color rgb="FF1A5C1A"/>
      <sz val="9"/>
    </font>
    <font>
      <name val="Arial"/>
      <charset val="1"/>
      <family val="0"/>
      <b val="1"/>
      <i val="1"/>
      <color rgb="FFC0397B"/>
      <sz val="10"/>
    </font>
    <font>
      <name val="Arial"/>
      <b val="1"/>
      <color rgb="001A5C1A"/>
      <sz val="11"/>
    </font>
  </fonts>
  <fills count="8">
    <fill>
      <patternFill/>
    </fill>
    <fill>
      <patternFill patternType="gray125"/>
    </fill>
    <fill>
      <patternFill patternType="solid">
        <fgColor rgb="FFC0397B"/>
        <bgColor rgb="FF993366"/>
      </patternFill>
    </fill>
    <fill>
      <patternFill patternType="solid">
        <fgColor rgb="FFF3D6E6"/>
        <bgColor rgb="FFE2F0D9"/>
      </patternFill>
    </fill>
    <fill>
      <patternFill patternType="solid">
        <fgColor rgb="FFE2F0D9"/>
        <bgColor rgb="FFFFF6BF"/>
      </patternFill>
    </fill>
    <fill>
      <patternFill patternType="solid">
        <fgColor rgb="FFFFF6BF"/>
        <bgColor rgb="FFFFFF99"/>
      </patternFill>
    </fill>
    <fill>
      <patternFill patternType="solid">
        <fgColor rgb="FFE8A0C0"/>
        <bgColor rgb="FFCC99FF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bottom"/>
    </xf>
    <xf numFmtId="164" fontId="6" fillId="3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left" vertical="center" wrapText="1"/>
    </xf>
    <xf numFmtId="164" fontId="13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general" vertical="bottom"/>
    </xf>
    <xf numFmtId="164" fontId="13" fillId="5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" fontId="13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bottom"/>
    </xf>
    <xf numFmtId="164" fontId="6" fillId="3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left" vertical="center" wrapText="1"/>
    </xf>
    <xf numFmtId="164" fontId="13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general" vertical="bottom"/>
    </xf>
    <xf numFmtId="164" fontId="13" fillId="5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" fontId="13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C0397B"/>
      <rgbColor rgb="FFFFF6BF"/>
      <rgbColor rgb="FFCCFFFF"/>
      <rgbColor rgb="FF660066"/>
      <rgbColor rgb="FFFF8080"/>
      <rgbColor rgb="FF0563C1"/>
      <rgbColor rgb="FFF3D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E8A0C0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A5C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57" min="1" max="1"/>
    <col width="54" customWidth="1" style="57" min="2" max="2"/>
  </cols>
  <sheetData>
    <row r="1" ht="30" customHeight="1" s="58">
      <c r="A1" s="59" t="inlineStr">
        <is>
          <t>Glimmer Bliss — Brand Identity &amp; Key Info</t>
        </is>
      </c>
    </row>
    <row r="2"/>
    <row r="3" ht="15" customHeight="1" s="58">
      <c r="A3" s="60" t="inlineStr">
        <is>
          <t>BRAND NAME</t>
        </is>
      </c>
    </row>
    <row r="4" ht="15" customHeight="1" s="58">
      <c r="A4" s="61" t="inlineStr">
        <is>
          <t>Website</t>
        </is>
      </c>
      <c r="B4" s="62" t="inlineStr">
        <is>
          <t>GlimmerBliss.com ✓ (available)</t>
        </is>
      </c>
    </row>
    <row r="5" ht="15" customHeight="1" s="58">
      <c r="A5" s="61" t="inlineStr">
        <is>
          <t>Owner / Creator</t>
        </is>
      </c>
      <c r="B5" s="62" t="inlineStr">
        <is>
          <t>Charlie (age 11)</t>
        </is>
      </c>
    </row>
    <row r="6" ht="15" customHeight="1" s="58">
      <c r="A6" s="61" t="inlineStr">
        <is>
          <t>Product Type</t>
        </is>
      </c>
      <c r="B6" s="62" t="inlineStr">
        <is>
          <t>Handmade lip gloss — Class 3 cosmetics</t>
        </is>
      </c>
    </row>
    <row r="7"/>
    <row r="8" ht="15" customHeight="1" s="58">
      <c r="A8" s="60" t="inlineStr">
        <is>
          <t>TRADEMARK STATUS</t>
        </is>
      </c>
    </row>
    <row r="9" ht="15" customHeight="1" s="58">
      <c r="A9" s="61" t="inlineStr">
        <is>
          <t>"Glimmer Bliss" combined phrase</t>
        </is>
      </c>
      <c r="B9" s="63" t="inlineStr">
        <is>
          <t>✓ No trademark found — clear to use</t>
        </is>
      </c>
    </row>
    <row r="10" ht="15" customHeight="1" s="58">
      <c r="A10" s="61" t="inlineStr">
        <is>
          <t>"GlamourBliss.com"</t>
        </is>
      </c>
      <c r="B10" s="64" t="inlineStr">
        <is>
          <t>✗ Domain not available</t>
        </is>
      </c>
    </row>
    <row r="11" ht="15" customHeight="1" s="58">
      <c r="A11" s="61" t="inlineStr">
        <is>
          <t>"GlimmerBliss.com"</t>
        </is>
      </c>
      <c r="B11" s="65" t="inlineStr">
        <is>
          <t>✓ Domain owned — GlimmerBliss.com secured</t>
        </is>
      </c>
    </row>
    <row r="12" ht="15" customHeight="1" s="58">
      <c r="A12" s="61" t="inlineStr">
        <is>
          <t>USPTO Class 3 filing fee</t>
        </is>
      </c>
      <c r="B12" s="62" t="inlineStr">
        <is>
          <t>$350 per class — register when ready</t>
        </is>
      </c>
    </row>
    <row r="13" ht="23.85" customHeight="1" s="58">
      <c r="A13" s="61" t="inlineStr">
        <is>
          <t>Recommended action</t>
        </is>
      </c>
      <c r="B13" s="62" t="inlineStr">
        <is>
          <t>Start selling as Glimmer Bliss. File USPTO trademark when revenue allows (~$350 + attorney fees).</t>
        </is>
      </c>
    </row>
    <row r="14"/>
    <row r="15" ht="15" customHeight="1" s="58">
      <c r="A15" s="60" t="inlineStr">
        <is>
          <t>SALES CHANNELS</t>
        </is>
      </c>
    </row>
    <row r="16" ht="15" customHeight="1" s="58">
      <c r="A16" s="61" t="inlineStr">
        <is>
          <t>Primary retail</t>
        </is>
      </c>
      <c r="B16" s="62" t="inlineStr">
        <is>
          <t>First Monday Trade Days, Canton TX</t>
        </is>
      </c>
    </row>
    <row r="17" ht="15" customHeight="1" s="58">
      <c r="A17" s="61" t="inlineStr">
        <is>
          <t>Online</t>
        </is>
      </c>
      <c r="B17" s="62" t="inlineStr">
        <is>
          <t>GlimmerBliss.com (website in development)</t>
        </is>
      </c>
    </row>
    <row r="18" ht="15" customHeight="1" s="58">
      <c r="A18" s="61" t="inlineStr">
        <is>
          <t>Consignment</t>
        </is>
      </c>
      <c r="B18" s="62" t="inlineStr">
        <is>
          <t>Friends sell on commission — see Consignment Tracker tab</t>
        </is>
      </c>
    </row>
    <row r="19"/>
    <row r="20" ht="15" customHeight="1" s="58">
      <c r="A20" s="60" t="inlineStr">
        <is>
          <t>CONTAINERS</t>
        </is>
      </c>
    </row>
    <row r="21" ht="15" customHeight="1" s="58">
      <c r="A21" s="61" t="inlineStr">
        <is>
          <t>Bottle style</t>
        </is>
      </c>
      <c r="B21" s="62" t="inlineStr">
        <is>
          <t>5ml White Square Lip Gloss Tube, Wide Wand Applicator</t>
        </is>
      </c>
    </row>
    <row r="22" ht="15" customHeight="1" s="58">
      <c r="A22" s="61" t="inlineStr">
        <is>
          <t>Supplier</t>
        </is>
      </c>
      <c r="B22" s="62" t="inlineStr">
        <is>
          <t>TKB Trading — tkbtrading.com</t>
        </is>
      </c>
    </row>
    <row r="23" ht="15" customHeight="1" s="58">
      <c r="A23" s="61" t="inlineStr">
        <is>
          <t>Cost</t>
        </is>
      </c>
      <c r="B23" s="62" t="inlineStr">
        <is>
          <t>$56.50 per 60 bottles ($0.94/tube) — email for bulk discount</t>
        </is>
      </c>
    </row>
    <row r="24" ht="15" customHeight="1" s="58">
      <c r="A24" s="61" t="inlineStr">
        <is>
          <t>First run qty</t>
        </is>
      </c>
      <c r="B24" s="62" t="inlineStr">
        <is>
          <t>120 bottles (2 packs)</t>
        </is>
      </c>
    </row>
    <row r="25"/>
    <row r="26" ht="15" customHeight="1" s="58">
      <c r="A26" s="60" t="inlineStr">
        <is>
          <t>FLAVORS (first run — 15 each)</t>
        </is>
      </c>
    </row>
    <row r="27" ht="15" customHeight="1" s="58">
      <c r="A27" s="66" t="inlineStr">
        <is>
          <t>1</t>
        </is>
      </c>
      <c r="B27" s="62" t="inlineStr">
        <is>
          <t>Pink Paradise — Sweet tropical vibes</t>
        </is>
      </c>
    </row>
    <row r="28" ht="15" customHeight="1" s="58">
      <c r="A28" s="66" t="inlineStr">
        <is>
          <t>2</t>
        </is>
      </c>
      <c r="B28" s="62" t="inlineStr">
        <is>
          <t>Cherry Pop — Bold cherry flavor</t>
        </is>
      </c>
    </row>
    <row r="29" ht="15" customHeight="1" s="58">
      <c r="A29" s="66" t="inlineStr">
        <is>
          <t>3</t>
        </is>
      </c>
      <c r="B29" s="62" t="inlineStr">
        <is>
          <t>Lemon Lime — Fresh citrus zing</t>
        </is>
      </c>
    </row>
    <row r="30" ht="15" customHeight="1" s="58">
      <c r="A30" s="66" t="inlineStr">
        <is>
          <t>4</t>
        </is>
      </c>
      <c r="B30" s="62" t="inlineStr">
        <is>
          <t>Vanilla Vibes — Smooth vanilla cream</t>
        </is>
      </c>
    </row>
    <row r="31" ht="15" customHeight="1" s="58">
      <c r="A31" s="66" t="inlineStr">
        <is>
          <t>5</t>
        </is>
      </c>
      <c r="B31" s="62" t="inlineStr">
        <is>
          <t>Berry Breeze — Mixed berry sweetness</t>
        </is>
      </c>
    </row>
    <row r="32" ht="15" customHeight="1" s="58">
      <c r="A32" s="66" t="inlineStr">
        <is>
          <t>6</t>
        </is>
      </c>
      <c r="B32" s="62" t="inlineStr">
        <is>
          <t>Rainy Days — Cool cotton candy</t>
        </is>
      </c>
    </row>
    <row r="33" ht="15" customHeight="1" s="58">
      <c r="A33" s="66" t="inlineStr">
        <is>
          <t>7</t>
        </is>
      </c>
      <c r="B33" s="62" t="inlineStr">
        <is>
          <t>Sun Flower — Sweet sunny citrus</t>
        </is>
      </c>
    </row>
    <row r="34" ht="15" customHeight="1" s="58">
      <c r="A34" s="66" t="inlineStr">
        <is>
          <t>8</t>
        </is>
      </c>
      <c r="B34" s="62" t="inlineStr">
        <is>
          <t>Iced Matcha Latte — Creamy green tea</t>
        </is>
      </c>
    </row>
  </sheetData>
  <mergeCells count="6">
    <mergeCell ref="A1:D1"/>
    <mergeCell ref="A8:D8"/>
    <mergeCell ref="A3:D3"/>
    <mergeCell ref="A26:D26"/>
    <mergeCell ref="A20:D20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57" min="1" max="2"/>
    <col width="34" customWidth="1" style="57" min="3" max="3"/>
    <col width="12" customWidth="1" style="57" min="4" max="4"/>
    <col width="14" customWidth="1" style="57" min="5" max="5"/>
    <col width="40" customWidth="1" style="57" min="6" max="6"/>
  </cols>
  <sheetData>
    <row r="1" ht="27.75" customHeight="1" s="58">
      <c r="A1" s="59" t="inlineStr">
        <is>
          <t>Glimmer Bliss — Shopping List (~200 glosses)</t>
        </is>
      </c>
    </row>
    <row r="3" ht="15" customHeight="1" s="58">
      <c r="A3" s="67" t="inlineStr">
        <is>
          <t>Item</t>
        </is>
      </c>
      <c r="B3" s="67" t="inlineStr">
        <is>
          <t>Where to Buy</t>
        </is>
      </c>
      <c r="C3" s="67" t="inlineStr">
        <is>
          <t>Product / Size</t>
        </is>
      </c>
      <c r="D3" s="67" t="inlineStr">
        <is>
          <t>Qty to Buy</t>
        </is>
      </c>
      <c r="E3" s="67" t="inlineStr">
        <is>
          <t>Est. Price ($)</t>
        </is>
      </c>
      <c r="F3" s="67" t="inlineStr">
        <is>
          <t>Notes</t>
        </is>
      </c>
    </row>
    <row r="4" ht="21.75" customHeight="1" s="58">
      <c r="A4" s="68" t="inlineStr">
        <is>
          <t>Gloss Base (Versagel)</t>
        </is>
      </c>
      <c r="B4" s="68" t="inlineStr">
        <is>
          <t>TKB Trading</t>
        </is>
      </c>
      <c r="C4" s="68" t="inlineStr">
        <is>
          <t>TKB Gloss Base (Versagel), 15 oz</t>
        </is>
      </c>
      <c r="D4" s="69" t="n">
        <v>2</v>
      </c>
      <c r="E4" s="70" t="n">
        <v>30</v>
      </c>
      <c r="F4" s="71" t="inlineStr">
        <is>
          <t>Each 15oz makes ~70 tubes; 2 = ~200. Also at WholesaleSuppliesPlus.</t>
        </is>
      </c>
    </row>
    <row r="5" ht="21.75" customHeight="1" s="58">
      <c r="A5" s="72" t="inlineStr">
        <is>
          <t>Lip Gloss Tubes (white square cap)</t>
        </is>
      </c>
      <c r="B5" s="73" t="inlineStr">
        <is>
          <t>TKB Trading</t>
        </is>
      </c>
      <c r="C5" s="74" t="inlineStr">
        <is>
          <t>5ml White Square Lip Gloss Tube, Wide Wand Applicator (tkbtrading.com)</t>
        </is>
      </c>
      <c r="D5" s="75" t="n">
        <v>120</v>
      </c>
      <c r="E5" s="70" t="n">
        <v>113</v>
      </c>
      <c r="F5" s="76" t="inlineStr">
        <is>
          <t>$56.50 per pack of 60 = $0.94/tube. 2 packs = 120 tubes. EMAIL TKB before ordering — may get a better rate. URL: tkbtrading.com/products/5ml-white-square-lip-gloss-tubes-refillable-with-wide-applicator-wand</t>
        </is>
      </c>
    </row>
    <row r="6" ht="15" customHeight="1" s="58">
      <c r="A6" s="68" t="inlineStr">
        <is>
          <t>Flavor Oil #1 - Cherry</t>
        </is>
      </c>
      <c r="B6" s="68" t="inlineStr">
        <is>
          <t>TKB Trading</t>
        </is>
      </c>
      <c r="C6" s="68" t="inlineStr">
        <is>
          <t>Cherry Flavoring Oil, 1 oz</t>
        </is>
      </c>
      <c r="D6" s="69" t="n">
        <v>1</v>
      </c>
      <c r="E6" s="70" t="n">
        <v>6.5</v>
      </c>
      <c r="F6" s="71" t="inlineStr">
        <is>
          <t>1 oz flavors many batches.</t>
        </is>
      </c>
    </row>
    <row r="7" ht="15" customHeight="1" s="58">
      <c r="A7" s="68" t="inlineStr">
        <is>
          <t>Flavor Oil #2 - Lemon Lime</t>
        </is>
      </c>
      <c r="B7" s="68" t="inlineStr">
        <is>
          <t>TKB Trading</t>
        </is>
      </c>
      <c r="C7" s="68" t="inlineStr">
        <is>
          <t>Lemon-Lime / Citrus Flavoring Oil, 1 oz</t>
        </is>
      </c>
      <c r="D7" s="69" t="n">
        <v>1</v>
      </c>
      <c r="E7" s="70" t="n">
        <v>6.5</v>
      </c>
      <c r="F7" s="71" t="n"/>
    </row>
    <row r="8" ht="15" customHeight="1" s="58">
      <c r="A8" s="68" t="inlineStr">
        <is>
          <t>Flavor Oil #3 - Vanilla</t>
        </is>
      </c>
      <c r="B8" s="68" t="inlineStr">
        <is>
          <t>TKB Trading</t>
        </is>
      </c>
      <c r="C8" s="68" t="inlineStr">
        <is>
          <t>Vanilla Flavoring Oil, 1 oz</t>
        </is>
      </c>
      <c r="D8" s="69" t="n">
        <v>1</v>
      </c>
      <c r="E8" s="70" t="n">
        <v>6.5</v>
      </c>
      <c r="F8" s="71" t="n"/>
    </row>
    <row r="9" ht="15" customHeight="1" s="58">
      <c r="A9" s="68" t="inlineStr">
        <is>
          <t>Flavor Oil #4 - Mixed Berry</t>
        </is>
      </c>
      <c r="B9" s="68" t="inlineStr">
        <is>
          <t>TKB Trading</t>
        </is>
      </c>
      <c r="C9" s="68" t="inlineStr">
        <is>
          <t>Mixed Berry Flavoring Oil, 1 oz</t>
        </is>
      </c>
      <c r="D9" s="69" t="n">
        <v>1</v>
      </c>
      <c r="E9" s="70" t="n">
        <v>6.5</v>
      </c>
      <c r="F9" s="71" t="n"/>
    </row>
    <row r="10" ht="15" customHeight="1" s="58">
      <c r="A10" s="68" t="inlineStr">
        <is>
          <t>Flavor Oil #5 - Tropical</t>
        </is>
      </c>
      <c r="B10" s="68" t="inlineStr">
        <is>
          <t>TKB Trading</t>
        </is>
      </c>
      <c r="C10" s="68" t="inlineStr">
        <is>
          <t>Tropical / Coconut Flavoring Oil, 1 oz</t>
        </is>
      </c>
      <c r="D10" s="69" t="n">
        <v>1</v>
      </c>
      <c r="E10" s="70" t="n">
        <v>6.5</v>
      </c>
      <c r="F10" s="71" t="inlineStr">
        <is>
          <t>For "Pink Paradise".</t>
        </is>
      </c>
    </row>
    <row r="11" ht="15" customHeight="1" s="58">
      <c r="A11" s="68" t="inlineStr">
        <is>
          <t>Flavor Oil #6 - Strawberry</t>
        </is>
      </c>
      <c r="B11" s="68" t="inlineStr">
        <is>
          <t>TKB Trading</t>
        </is>
      </c>
      <c r="C11" s="68" t="inlineStr">
        <is>
          <t>Strawberry Flavoring Oil, 1 oz</t>
        </is>
      </c>
      <c r="D11" s="69" t="n">
        <v>1</v>
      </c>
      <c r="E11" s="70" t="n">
        <v>6.5</v>
      </c>
      <c r="F11" s="71" t="n"/>
    </row>
    <row r="12" ht="23.25" customHeight="1" s="58">
      <c r="A12" s="68" t="inlineStr">
        <is>
          <t>Flavor Oil #7 - Vanilla/Green Tea</t>
        </is>
      </c>
      <c r="B12" s="68" t="inlineStr">
        <is>
          <t>TKB Trading</t>
        </is>
      </c>
      <c r="C12" s="68" t="inlineStr">
        <is>
          <t>Honeysuckle or Green Tea Oil, 1 oz</t>
        </is>
      </c>
      <c r="D12" s="69" t="n">
        <v>1</v>
      </c>
      <c r="E12" s="70" t="n">
        <v>6.5</v>
      </c>
      <c r="F12" s="71" t="inlineStr">
        <is>
          <t>For "Iced Matcha Latte".</t>
        </is>
      </c>
    </row>
    <row r="13" ht="23.25" customHeight="1" s="58">
      <c r="A13" s="68" t="inlineStr">
        <is>
          <t>Flavor Oil #8 - Sweet/Cotton Candy</t>
        </is>
      </c>
      <c r="B13" s="68" t="inlineStr">
        <is>
          <t>TKB Trading</t>
        </is>
      </c>
      <c r="C13" s="68" t="inlineStr">
        <is>
          <t>Cotton Candy Flavoring Oil, 1 oz</t>
        </is>
      </c>
      <c r="D13" s="69" t="n">
        <v>1</v>
      </c>
      <c r="E13" s="70" t="n">
        <v>6.5</v>
      </c>
      <c r="F13" s="71" t="inlineStr">
        <is>
          <t>For "Sun Flower" / "Rainy Days".</t>
        </is>
      </c>
    </row>
    <row r="14" ht="15" customHeight="1" s="58">
      <c r="A14" s="68" t="inlineStr">
        <is>
          <t>Mica Color Sampler</t>
        </is>
      </c>
      <c r="B14" s="68" t="inlineStr">
        <is>
          <t>TKB Trading</t>
        </is>
      </c>
      <c r="C14" s="68" t="inlineStr">
        <is>
          <t>Cosmetic Mica sampler set</t>
        </is>
      </c>
      <c r="D14" s="69" t="n">
        <v>1</v>
      </c>
      <c r="E14" s="70" t="n">
        <v>12</v>
      </c>
      <c r="F14" s="71" t="inlineStr">
        <is>
          <t>Lip-safe micas. A little colors a lot.</t>
        </is>
      </c>
    </row>
    <row r="15" ht="15" customHeight="1" s="58">
      <c r="A15" s="68" t="inlineStr">
        <is>
          <t>Lip Liquid (pigment)</t>
        </is>
      </c>
      <c r="B15" s="68" t="inlineStr">
        <is>
          <t>TKB Trading</t>
        </is>
      </c>
      <c r="C15" s="68" t="inlineStr">
        <is>
          <t>TKB Lip Liquid, 1 oz</t>
        </is>
      </c>
      <c r="D15" s="69" t="n">
        <v>1</v>
      </c>
      <c r="E15" s="70" t="n">
        <v>5.49</v>
      </c>
      <c r="F15" s="71" t="inlineStr">
        <is>
          <t>Optional, for stronger color. Source: TKB, $5.49.</t>
        </is>
      </c>
    </row>
    <row r="16" ht="15" customHeight="1" s="58">
      <c r="A16" s="68" t="inlineStr">
        <is>
          <t>Cosmetic Glitter</t>
        </is>
      </c>
      <c r="B16" s="68" t="inlineStr">
        <is>
          <t>TKB Trading</t>
        </is>
      </c>
      <c r="C16" s="68" t="inlineStr">
        <is>
          <t>Cosmetic-grade glitter (2 colors)</t>
        </is>
      </c>
      <c r="D16" s="69" t="n">
        <v>2</v>
      </c>
      <c r="E16" s="70" t="n">
        <v>10</v>
      </c>
      <c r="F16" s="71" t="inlineStr">
        <is>
          <t>NEVER craft glitter.</t>
        </is>
      </c>
    </row>
    <row r="17" ht="15" customHeight="1" s="58">
      <c r="A17" s="68" t="inlineStr">
        <is>
          <t>Vitamin E Oil</t>
        </is>
      </c>
      <c r="B17" s="68" t="inlineStr">
        <is>
          <t>Amazon / TKB</t>
        </is>
      </c>
      <c r="C17" s="68" t="inlineStr">
        <is>
          <t>Vitamin E oil, small bottle</t>
        </is>
      </c>
      <c r="D17" s="69" t="n">
        <v>1</v>
      </c>
      <c r="E17" s="70" t="n">
        <v>7</v>
      </c>
      <c r="F17" s="71" t="inlineStr">
        <is>
          <t>Conditioning + shelf life.</t>
        </is>
      </c>
    </row>
    <row r="18" ht="15" customHeight="1" s="58">
      <c r="A18" s="68" t="inlineStr">
        <is>
          <t>Filling Syringes</t>
        </is>
      </c>
      <c r="B18" s="68" t="inlineStr">
        <is>
          <t>TKB / Amazon</t>
        </is>
      </c>
      <c r="C18" s="68" t="inlineStr">
        <is>
          <t>Luer-lock syringes 10ml (pack)</t>
        </is>
      </c>
      <c r="D18" s="69" t="n">
        <v>1</v>
      </c>
      <c r="E18" s="70" t="n">
        <v>5</v>
      </c>
      <c r="F18" s="71" t="inlineStr">
        <is>
          <t>Clean filling, less mess.</t>
        </is>
      </c>
    </row>
    <row r="19" ht="15" customHeight="1" s="58">
      <c r="A19" s="68" t="inlineStr">
        <is>
          <t>Custom Labels</t>
        </is>
      </c>
      <c r="B19" s="68" t="inlineStr">
        <is>
          <t>StickerMule / Sticker Ninja</t>
        </is>
      </c>
      <c r="C19" s="68" t="inlineStr">
        <is>
          <t>Die-cut waterproof labels, 220</t>
        </is>
      </c>
      <c r="D19" s="69" t="n">
        <v>220</v>
      </c>
      <c r="E19" s="70" t="n">
        <v>75</v>
      </c>
      <c r="F19" s="71" t="inlineStr">
        <is>
          <t>Pro look. ~$0.34 ea at 200+. See Labels tab.</t>
        </is>
      </c>
    </row>
    <row r="20" ht="15" customHeight="1" s="58">
      <c r="D20" s="77" t="inlineStr">
        <is>
          <t>TOTAL</t>
        </is>
      </c>
      <c r="E20" s="78">
        <f>SUM(E4:E19)</f>
        <v/>
      </c>
    </row>
    <row r="21" ht="15" customHeight="1" s="58">
      <c r="A21" s="79" t="inlineStr">
        <is>
          <t>Yellow cells = edit with the real price you pay. Total updates automatically.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57" min="1" max="1"/>
    <col width="16" customWidth="1" style="57" min="2" max="2"/>
    <col width="52" customWidth="1" style="57" min="3" max="3"/>
  </cols>
  <sheetData>
    <row r="1" ht="27.75" customHeight="1" s="58">
      <c r="A1" s="59" t="inlineStr">
        <is>
          <t>Cost Per Gloss</t>
        </is>
      </c>
    </row>
    <row r="3" ht="15" customHeight="1" s="58">
      <c r="A3" s="67" t="inlineStr">
        <is>
          <t>Input</t>
        </is>
      </c>
      <c r="B3" s="67" t="inlineStr">
        <is>
          <t>Value</t>
        </is>
      </c>
      <c r="C3" s="67" t="inlineStr">
        <is>
          <t>Notes</t>
        </is>
      </c>
    </row>
    <row r="4" ht="15" customHeight="1" s="58">
      <c r="A4" s="80" t="inlineStr">
        <is>
          <t>Total spent on supplies ($)</t>
        </is>
      </c>
      <c r="B4" s="81" t="n">
        <v>285</v>
      </c>
      <c r="C4" s="71" t="inlineStr">
        <is>
          <t>Update with real total once you order. Tubes: 2 packs x $56.50 = $113.00 for 120 tubes ($0.94/tube). Email TKB for possible discount.</t>
        </is>
      </c>
    </row>
    <row r="5" ht="15" customHeight="1" s="58">
      <c r="A5" s="80" t="inlineStr">
        <is>
          <t>Glosses you will make</t>
        </is>
      </c>
      <c r="B5" s="82" t="n">
        <v>120</v>
      </c>
      <c r="C5" s="71" t="inlineStr">
        <is>
          <t>How many tubes this batch yields.</t>
        </is>
      </c>
    </row>
    <row r="6" ht="15" customHeight="1" s="58">
      <c r="A6" s="80" t="inlineStr">
        <is>
          <t>Reusable supplies left over ($)</t>
        </is>
      </c>
      <c r="B6" s="81" t="n">
        <v>70</v>
      </c>
      <c r="C6" s="71" t="inlineStr">
        <is>
          <t>Est. value of flavors/mica/glitter NOT used up (lasts to next batch).</t>
        </is>
      </c>
    </row>
    <row r="8" ht="15" customHeight="1" s="58">
      <c r="A8" s="67" t="inlineStr">
        <is>
          <t>Result</t>
        </is>
      </c>
      <c r="B8" s="67" t="inlineStr">
        <is>
          <t>Value</t>
        </is>
      </c>
      <c r="C8" s="67" t="inlineStr">
        <is>
          <t>How it is figured</t>
        </is>
      </c>
    </row>
    <row r="9" ht="15" customHeight="1" s="58">
      <c r="A9" s="80" t="inlineStr">
        <is>
          <t>Cost per gloss (full)</t>
        </is>
      </c>
      <c r="B9" s="83">
        <f>B4/B5</f>
        <v/>
      </c>
      <c r="C9" s="71" t="inlineStr">
        <is>
          <t>All money spent ÷ glosses made.</t>
        </is>
      </c>
    </row>
    <row r="10" ht="15" customHeight="1" s="58">
      <c r="A10" s="80" t="inlineStr">
        <is>
          <t>Cost per gloss (consumed only)</t>
        </is>
      </c>
      <c r="B10" s="83">
        <f>(B4-B6)/B5</f>
        <v/>
      </c>
      <c r="C10" s="71" t="inlineStr">
        <is>
          <t>Truer per-unit cost since flavors/mica carry to next batch.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57" min="1" max="1"/>
    <col width="16" customWidth="1" style="57" min="2" max="2"/>
    <col width="18" customWidth="1" style="57" min="3" max="3"/>
    <col width="22" customWidth="1" style="57" min="4" max="4"/>
    <col width="42" customWidth="1" style="57" min="5" max="5"/>
    <col width="22" customWidth="1" style="57" min="6" max="6"/>
  </cols>
  <sheetData>
    <row r="1" ht="27.75" customHeight="1" s="58">
      <c r="A1" s="59" t="inlineStr">
        <is>
          <t>Glimmer Bliss — Pricing &amp; Profit by Channel</t>
        </is>
      </c>
    </row>
    <row r="2" ht="15.75" customHeight="1" s="58">
      <c r="A2" s="84" t="inlineStr">
        <is>
          <t>Your cost per gloss ($):</t>
        </is>
      </c>
      <c r="B2" s="85">
        <f>'Cost Per Gloss'!B10</f>
        <v/>
      </c>
      <c r="C2" s="79" t="inlineStr">
        <is>
          <t>← auto-pulled from Cost Per Gloss tab. Update that tab with real prices.</t>
        </is>
      </c>
    </row>
    <row r="3" ht="15" customHeight="1" s="58"/>
    <row r="4" ht="19.5" customHeight="1" s="58">
      <c r="A4" s="86" t="inlineStr">
        <is>
          <t>SECTION 1 — Market Pricing Research (What Competitors Charge)</t>
        </is>
      </c>
    </row>
    <row r="5" ht="15" customHeight="1" s="58">
      <c r="A5" s="87" t="inlineStr">
        <is>
          <t>Tier</t>
        </is>
      </c>
      <c r="B5" s="87" t="inlineStr">
        <is>
          <t>Examples</t>
        </is>
      </c>
      <c r="C5" s="87" t="inlineStr">
        <is>
          <t>Price Range</t>
        </is>
      </c>
      <c r="D5" s="87" t="inlineStr">
        <is>
          <t>Relevant to Glimmer Bliss?</t>
        </is>
      </c>
      <c r="E5" s="87" t="inlineStr">
        <is>
          <t>Notes</t>
        </is>
      </c>
    </row>
    <row r="6" ht="15" customHeight="1" s="58">
      <c r="A6" s="68" t="inlineStr">
        <is>
          <t>Drugstore / Mass Market</t>
        </is>
      </c>
      <c r="B6" s="68" t="inlineStr">
        <is>
          <t>Maybelline, NYX, Wet n Wild, e.l.f.</t>
        </is>
      </c>
      <c r="C6" s="69" t="inlineStr">
        <is>
          <t>$5 – $10</t>
        </is>
      </c>
      <c r="D6" s="69" t="inlineStr">
        <is>
          <t>Indirect — sets floor</t>
        </is>
      </c>
      <c r="E6" s="68" t="inlineStr">
        <is>
          <t>Widely available. Buyers compare quality &amp; story, not just price.</t>
        </is>
      </c>
    </row>
    <row r="7" ht="15" customHeight="1" s="58">
      <c r="A7" s="72" t="inlineStr">
        <is>
          <t>Indie Small Business</t>
        </is>
      </c>
      <c r="B7" s="72" t="inlineStr">
        <is>
          <t>Etsy sellers, booth vendors, small online brands</t>
        </is>
      </c>
      <c r="C7" s="88" t="inlineStr">
        <is>
          <t>$8 – $16</t>
        </is>
      </c>
      <c r="D7" s="88" t="inlineStr">
        <is>
          <t>✓ PRIMARY COMPETITION</t>
        </is>
      </c>
      <c r="E7" s="72" t="inlineStr">
        <is>
          <t>Sweet spot for Glimmer Bliss. Most indie brands land $10–$14.</t>
        </is>
      </c>
    </row>
    <row r="8" ht="34.5" customHeight="1" s="58">
      <c r="A8" s="68" t="inlineStr">
        <is>
          <t>Premium / Prestige</t>
        </is>
      </c>
      <c r="B8" s="68" t="inlineStr">
        <is>
          <t>Fenty Gloss Bomb, NARS, Charlotte Tilbury</t>
        </is>
      </c>
      <c r="C8" s="69" t="inlineStr">
        <is>
          <t>$22 – $32</t>
        </is>
      </c>
      <c r="D8" s="69" t="inlineStr">
        <is>
          <t>Aspirational ceiling</t>
        </is>
      </c>
      <c r="E8" s="68" t="inlineStr">
        <is>
          <t>Better packaging + brand story can push toward this tier over time.</t>
        </is>
      </c>
    </row>
    <row r="9" ht="15" customHeight="1" s="58">
      <c r="A9" s="68" t="inlineStr">
        <is>
          <t>Luxury</t>
        </is>
      </c>
      <c r="B9" s="68" t="inlineStr">
        <is>
          <t>Dior Lip Glow Oil</t>
        </is>
      </c>
      <c r="C9" s="69" t="inlineStr">
        <is>
          <t>$38 – $45</t>
        </is>
      </c>
      <c r="D9" s="69" t="inlineStr">
        <is>
          <t>Not relevant yet</t>
        </is>
      </c>
      <c r="E9" s="68" t="inlineStr">
        <is>
          <t>Out of scope for now.</t>
        </is>
      </c>
    </row>
    <row r="10" ht="15" customHeight="1" s="58">
      <c r="A10" s="79" t="inlineStr">
        <is>
          <t>Source: Makesy, Jim.com lipgloss business guide, eBay/Etsy market data 2025–2026</t>
        </is>
      </c>
    </row>
    <row r="11" ht="15" customHeight="1" s="58"/>
    <row r="12" ht="19.5" customHeight="1" s="58">
      <c r="A12" s="86" t="inlineStr">
        <is>
          <t>SECTION 2 — The Packaging Premium (Charlie's Nicer Bottles)</t>
        </is>
      </c>
    </row>
    <row r="13" ht="15" customHeight="1" s="58">
      <c r="A13" s="87" t="inlineStr">
        <is>
          <t>Bottle Cost</t>
        </is>
      </c>
      <c r="B13" s="87" t="inlineStr">
        <is>
          <t>Total Cost/Gloss</t>
        </is>
      </c>
      <c r="C13" s="87" t="inlineStr">
        <is>
          <t>Justified Retail</t>
        </is>
      </c>
      <c r="D13" s="87" t="inlineStr">
        <is>
          <t>Profit/Gloss</t>
        </is>
      </c>
      <c r="E13" s="87" t="inlineStr">
        <is>
          <t>Verdict</t>
        </is>
      </c>
    </row>
    <row r="14" ht="15" customHeight="1" s="58">
      <c r="A14" s="69" t="inlineStr">
        <is>
          <t>$0.35–0.55 (basic)</t>
        </is>
      </c>
      <c r="B14" s="69" t="inlineStr">
        <is>
          <t>~$1.50–2.00</t>
        </is>
      </c>
      <c r="C14" s="69" t="inlineStr">
        <is>
          <t>$8–10</t>
        </is>
      </c>
      <c r="D14" s="69" t="inlineStr">
        <is>
          <t>~$6–8</t>
        </is>
      </c>
      <c r="E14" s="68" t="inlineStr">
        <is>
          <t>Works, but hard to justify $10+</t>
        </is>
      </c>
    </row>
    <row r="15" ht="15" customHeight="1" s="58">
      <c r="A15" s="69" t="inlineStr">
        <is>
          <t>$0.75–1.00 (mid)</t>
        </is>
      </c>
      <c r="B15" s="69" t="inlineStr">
        <is>
          <t>~$2.25–2.75</t>
        </is>
      </c>
      <c r="C15" s="69" t="inlineStr">
        <is>
          <t>$10–12</t>
        </is>
      </c>
      <c r="D15" s="69" t="inlineStr">
        <is>
          <t>~$8–10</t>
        </is>
      </c>
      <c r="E15" s="68" t="inlineStr">
        <is>
          <t>✓ Sweet spot — nicer look, strong margin</t>
        </is>
      </c>
    </row>
    <row r="16" ht="15" customHeight="1" s="58">
      <c r="A16" s="88" t="inlineStr">
        <is>
          <t>$1.00–1.50 (premium)</t>
        </is>
      </c>
      <c r="B16" s="88" t="inlineStr">
        <is>
          <t>~$2.75–3.25</t>
        </is>
      </c>
      <c r="C16" s="88" t="inlineStr">
        <is>
          <t>$12–14</t>
        </is>
      </c>
      <c r="D16" s="88" t="inlineStr">
        <is>
          <t>~$9–11</t>
        </is>
      </c>
      <c r="E16" s="72" t="inlineStr">
        <is>
          <t>★ Best — premium feel, top-tier margin</t>
        </is>
      </c>
    </row>
    <row r="17" ht="15" customHeight="1" s="58">
      <c r="A17" s="69" t="inlineStr">
        <is>
          <t>$1.50–3.00 (LED/fancy)</t>
        </is>
      </c>
      <c r="B17" s="69" t="inlineStr">
        <is>
          <t>~$3.50–5.00</t>
        </is>
      </c>
      <c r="C17" s="69" t="inlineStr">
        <is>
          <t>$14–18</t>
        </is>
      </c>
      <c r="D17" s="69" t="inlineStr">
        <is>
          <t>~$10–13</t>
        </is>
      </c>
      <c r="E17" s="68" t="inlineStr">
        <is>
          <t>High wow factor, use as premium upsell</t>
        </is>
      </c>
    </row>
    <row r="19" ht="19.5" customHeight="1" s="58">
      <c r="A19" s="86" t="inlineStr">
        <is>
          <t>SECTION 3 — Glimmer Bliss Recommended Pricing by Channel</t>
        </is>
      </c>
    </row>
    <row r="20" ht="15" customHeight="1" s="58">
      <c r="A20" s="84" t="inlineStr">
        <is>
          <t>Your cost per gloss:</t>
        </is>
      </c>
      <c r="B20" s="85">
        <f>$B$2</f>
        <v/>
      </c>
      <c r="C20" s="79" t="inlineStr">
        <is>
          <t>← Update Cost Per Gloss tab with real prices first</t>
        </is>
      </c>
    </row>
    <row r="21" ht="15" customHeight="1" s="58">
      <c r="A21" s="87" t="inlineStr">
        <is>
          <t>Channel</t>
        </is>
      </c>
      <c r="B21" s="87" t="inlineStr">
        <is>
          <t>Sell Price ($)</t>
        </is>
      </c>
      <c r="C21" s="87" t="inlineStr">
        <is>
          <t>Profit/Gloss ($)</t>
        </is>
      </c>
      <c r="D21" s="87" t="inlineStr">
        <is>
          <t>Margin (%)</t>
        </is>
      </c>
      <c r="E21" s="87" t="inlineStr">
        <is>
          <t>Notes</t>
        </is>
      </c>
    </row>
    <row r="22" ht="21.75" customHeight="1" s="58">
      <c r="A22" s="80" t="inlineStr">
        <is>
          <t>Booth Retail (Canton)</t>
        </is>
      </c>
      <c r="B22" s="70" t="n">
        <v>12</v>
      </c>
      <c r="C22" s="89">
        <f>B22-$B$2</f>
        <v/>
      </c>
      <c r="D22" s="90">
        <f>IF(B22=0,0,(B22-$B$2)/B22)</f>
        <v/>
      </c>
      <c r="E22" s="71" t="inlineStr">
        <is>
          <t>Recommended based on market research. Adjust with real bottle cost.</t>
        </is>
      </c>
    </row>
    <row r="23" ht="15" customHeight="1" s="58">
      <c r="A23" s="80" t="inlineStr">
        <is>
          <t>Website Retail</t>
        </is>
      </c>
      <c r="B23" s="70" t="n">
        <v>12</v>
      </c>
      <c r="C23" s="89">
        <f>B23-$B$2</f>
        <v/>
      </c>
      <c r="D23" s="90">
        <f>IF(B23=0,0,(B23-$B$2)/B23)</f>
        <v/>
      </c>
      <c r="E23" s="71" t="inlineStr">
        <is>
          <t>Match booth price so you don't undercut yourself online.</t>
        </is>
      </c>
    </row>
    <row r="24" ht="21.75" customHeight="1" s="58">
      <c r="A24" s="80" t="inlineStr">
        <is>
          <t>Consignment — you collect</t>
        </is>
      </c>
      <c r="B24" s="70" t="n">
        <v>7</v>
      </c>
      <c r="C24" s="89">
        <f>B24-$B$2</f>
        <v/>
      </c>
      <c r="D24" s="90">
        <f>IF(B24=0,0,(B24-$B$2)/B24)</f>
        <v/>
      </c>
      <c r="E24" s="71" t="inlineStr">
        <is>
          <t>You collect this per sold gloss. Friend keeps the rest (see below).</t>
        </is>
      </c>
    </row>
    <row r="25" ht="21.75" customHeight="1" s="58">
      <c r="A25" s="80" t="inlineStr">
        <is>
          <t>Wholesale (bulk to store)</t>
        </is>
      </c>
      <c r="B25" s="70" t="n">
        <v>5</v>
      </c>
      <c r="C25" s="89">
        <f>B25-$B$2</f>
        <v/>
      </c>
      <c r="D25" s="90">
        <f>IF(B25=0,0,(B25-$B$2)/B25)</f>
        <v/>
      </c>
      <c r="E25" s="71" t="inlineStr">
        <is>
          <t>If a shop ever buys a batch upfront. Thinner margin, higher volume.</t>
        </is>
      </c>
    </row>
    <row r="27" ht="19.5" customHeight="1" s="58">
      <c r="A27" s="86" t="inlineStr">
        <is>
          <t>SECTION 4 — Bundle Pricing (Move More Product)</t>
        </is>
      </c>
    </row>
    <row r="28" ht="21.75" customHeight="1" s="58">
      <c r="A28" s="91" t="inlineStr">
        <is>
          <t>Why bundles work at Canton: customers feel they're getting a deal, you move 2x the product per transaction. The "2 for $18" feels like saving $6 vs buying separately at $12 each.</t>
        </is>
      </c>
    </row>
    <row r="29" ht="15" customHeight="1" s="58">
      <c r="A29" s="87" t="inlineStr">
        <is>
          <t>Bundle</t>
        </is>
      </c>
      <c r="B29" s="87" t="inlineStr">
        <is>
          <t>Units</t>
        </is>
      </c>
      <c r="C29" s="87" t="inlineStr">
        <is>
          <t>Bundle Price ($)</t>
        </is>
      </c>
      <c r="D29" s="87" t="inlineStr">
        <is>
          <t>Revenue vs Separate</t>
        </is>
      </c>
      <c r="E29" s="87" t="inlineStr">
        <is>
          <t>Profit on Bundle ($)</t>
        </is>
      </c>
      <c r="F29" s="87" t="inlineStr">
        <is>
          <t>Notes</t>
        </is>
      </c>
    </row>
    <row r="30" ht="21.75" customHeight="1" s="58">
      <c r="A30" s="72" t="inlineStr">
        <is>
          <t>2 for deal</t>
        </is>
      </c>
      <c r="B30" s="92" t="n">
        <v>2</v>
      </c>
      <c r="C30" s="93" t="n">
        <v>18</v>
      </c>
      <c r="D30" s="94">
        <f>C30-(B30*$B$22)</f>
        <v/>
      </c>
      <c r="E30" s="94">
        <f>C30-(B30*$B$2)</f>
        <v/>
      </c>
      <c r="F30" s="76" t="inlineStr">
        <is>
          <t>★ Recommended — feels like $6 saving vs 2x$12</t>
        </is>
      </c>
    </row>
    <row r="31" ht="21.75" customHeight="1" s="58">
      <c r="A31" s="80" t="inlineStr">
        <is>
          <t>3 for deal</t>
        </is>
      </c>
      <c r="B31" s="69" t="n">
        <v>3</v>
      </c>
      <c r="C31" s="70" t="n">
        <v>25</v>
      </c>
      <c r="D31" s="89">
        <f>C31-(B31*$B$22)</f>
        <v/>
      </c>
      <c r="E31" s="89">
        <f>C31-(B31*$B$2)</f>
        <v/>
      </c>
      <c r="F31" s="71" t="inlineStr">
        <is>
          <t>Great for website orders, free shipping threshold</t>
        </is>
      </c>
    </row>
    <row r="32" ht="21.75" customHeight="1" s="58">
      <c r="A32" s="80" t="inlineStr">
        <is>
          <t>Mini sampler (3 minis)</t>
        </is>
      </c>
      <c r="B32" s="69" t="n">
        <v>3</v>
      </c>
      <c r="C32" s="70" t="n">
        <v>20</v>
      </c>
      <c r="D32" s="89">
        <f>C32-(B32*$B$22)</f>
        <v/>
      </c>
      <c r="E32" s="89">
        <f>C32-(B32*$B$2)</f>
        <v/>
      </c>
      <c r="F32" s="71" t="inlineStr">
        <is>
          <t>If you offer smaller/sample sizes later</t>
        </is>
      </c>
    </row>
    <row r="34" ht="19.5" customHeight="1" s="58">
      <c r="A34" s="86" t="inlineStr">
        <is>
          <t>SECTION 5 — Consignment Split (Friends Who Sell for Charlie)</t>
        </is>
      </c>
    </row>
    <row r="35" ht="15" customHeight="1" s="58">
      <c r="A35" s="95" t="inlineStr">
        <is>
          <t>Retail price friend sells at ($):</t>
        </is>
      </c>
      <c r="B35" s="96" t="n">
        <v>12</v>
      </c>
      <c r="C35" s="97" t="n"/>
    </row>
    <row r="36" ht="15" customHeight="1" s="58">
      <c r="A36" s="95" t="inlineStr">
        <is>
          <t>You collect per sold gloss ($):</t>
        </is>
      </c>
      <c r="B36" s="96" t="n">
        <v>7</v>
      </c>
      <c r="C36" s="97" t="n"/>
    </row>
    <row r="37" ht="15" customHeight="1" s="58">
      <c r="A37" s="95" t="inlineStr">
        <is>
          <t>Friend's cut per sale ($):</t>
        </is>
      </c>
      <c r="B37" s="98">
        <f>B35-B36</f>
        <v/>
      </c>
      <c r="C37" s="97" t="n"/>
    </row>
    <row r="38" ht="15" customHeight="1" s="58">
      <c r="A38" s="95" t="inlineStr">
        <is>
          <t>Your profit per consigned sale ($):</t>
        </is>
      </c>
      <c r="B38" s="98">
        <f>B37-$B$2</f>
        <v/>
      </c>
      <c r="C38" s="97" t="n"/>
    </row>
    <row r="40" ht="15" customHeight="1" s="58">
      <c r="A40" s="79" t="inlineStr">
        <is>
          <t>Yellow = edit. Green = recommended. All profit columns update automatically when you change the cost per gloss.</t>
        </is>
      </c>
    </row>
  </sheetData>
  <mergeCells count="9">
    <mergeCell ref="A34:E34"/>
    <mergeCell ref="A12:E12"/>
    <mergeCell ref="A10:E10"/>
    <mergeCell ref="A28:E28"/>
    <mergeCell ref="A19:E19"/>
    <mergeCell ref="A1:E1"/>
    <mergeCell ref="A4:F4"/>
    <mergeCell ref="A40:E40"/>
    <mergeCell ref="A27:E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7" min="1" max="1"/>
    <col width="26" customWidth="1" style="57" min="2" max="2"/>
    <col width="14" customWidth="1" style="57" min="3" max="4"/>
  </cols>
  <sheetData>
    <row r="1" ht="27.75" customHeight="1" s="58">
      <c r="A1" s="59" t="inlineStr">
        <is>
          <t>Batch Planner — How Many of Each Flavor</t>
        </is>
      </c>
    </row>
    <row r="3" ht="15" customHeight="1" s="58">
      <c r="A3" s="67" t="inlineStr">
        <is>
          <t>Flavor</t>
        </is>
      </c>
      <c r="B3" s="67" t="inlineStr">
        <is>
          <t>Tagline</t>
        </is>
      </c>
      <c r="C3" s="67" t="inlineStr">
        <is>
          <t>Qty to Make</t>
        </is>
      </c>
      <c r="D3" s="67" t="inlineStr">
        <is>
          <t>Made? (Y/N)</t>
        </is>
      </c>
    </row>
    <row r="4" ht="15" customHeight="1" s="58">
      <c r="A4" s="80" t="inlineStr">
        <is>
          <t>Pink Paradise</t>
        </is>
      </c>
      <c r="B4" s="71" t="inlineStr">
        <is>
          <t>Sweet tropical vibes</t>
        </is>
      </c>
      <c r="C4" s="75" t="n">
        <v>15</v>
      </c>
      <c r="D4" s="99" t="n"/>
    </row>
    <row r="5" ht="15" customHeight="1" s="58">
      <c r="A5" s="80" t="inlineStr">
        <is>
          <t>Cherry Pop</t>
        </is>
      </c>
      <c r="B5" s="71" t="inlineStr">
        <is>
          <t>Bold cherry flavor</t>
        </is>
      </c>
      <c r="C5" s="75" t="n">
        <v>15</v>
      </c>
      <c r="D5" s="99" t="n"/>
    </row>
    <row r="6" ht="15" customHeight="1" s="58">
      <c r="A6" s="80" t="inlineStr">
        <is>
          <t>Lemon Lime</t>
        </is>
      </c>
      <c r="B6" s="71" t="inlineStr">
        <is>
          <t>Fresh citrus zing</t>
        </is>
      </c>
      <c r="C6" s="75" t="n">
        <v>15</v>
      </c>
      <c r="D6" s="99" t="n"/>
    </row>
    <row r="7" ht="15" customHeight="1" s="58">
      <c r="A7" s="80" t="inlineStr">
        <is>
          <t>Vanilla Vibes</t>
        </is>
      </c>
      <c r="B7" s="71" t="inlineStr">
        <is>
          <t>Smooth vanilla cream</t>
        </is>
      </c>
      <c r="C7" s="75" t="n">
        <v>15</v>
      </c>
      <c r="D7" s="99" t="n"/>
    </row>
    <row r="8" ht="15" customHeight="1" s="58">
      <c r="A8" s="80" t="inlineStr">
        <is>
          <t>Berry Breeze</t>
        </is>
      </c>
      <c r="B8" s="71" t="inlineStr">
        <is>
          <t>Mixed berry sweetness</t>
        </is>
      </c>
      <c r="C8" s="75" t="n">
        <v>15</v>
      </c>
      <c r="D8" s="99" t="n"/>
    </row>
    <row r="9" ht="15" customHeight="1" s="58">
      <c r="A9" s="80" t="inlineStr">
        <is>
          <t>Rainy Days</t>
        </is>
      </c>
      <c r="B9" s="71" t="inlineStr">
        <is>
          <t>Cool cotton candy</t>
        </is>
      </c>
      <c r="C9" s="75" t="n">
        <v>15</v>
      </c>
      <c r="D9" s="99" t="n"/>
    </row>
    <row r="10" ht="15" customHeight="1" s="58">
      <c r="A10" s="80" t="inlineStr">
        <is>
          <t>Sun Flower</t>
        </is>
      </c>
      <c r="B10" s="71" t="inlineStr">
        <is>
          <t>Sweet sunny citrus</t>
        </is>
      </c>
      <c r="C10" s="75" t="n">
        <v>15</v>
      </c>
      <c r="D10" s="99" t="n"/>
    </row>
    <row r="11" ht="15" customHeight="1" s="58">
      <c r="A11" s="80" t="inlineStr">
        <is>
          <t>Iced Matcha Latte</t>
        </is>
      </c>
      <c r="B11" s="71" t="inlineStr">
        <is>
          <t>Creamy green tea</t>
        </is>
      </c>
      <c r="C11" s="75" t="n">
        <v>15</v>
      </c>
      <c r="D11" s="99" t="n"/>
    </row>
    <row r="12" ht="15" customHeight="1" s="58">
      <c r="B12" s="77" t="inlineStr">
        <is>
          <t>TOTAL</t>
        </is>
      </c>
      <c r="C12" s="100">
        <f>SUM(C4:C11)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57" min="1" max="1"/>
    <col width="14" customWidth="1" style="57" min="2" max="3"/>
    <col width="12" customWidth="1" style="57" min="4" max="4"/>
    <col width="16" customWidth="1" style="57" min="5" max="6"/>
  </cols>
  <sheetData>
    <row r="1" ht="27.75" customHeight="1" s="58">
      <c r="A1" s="59" t="inlineStr">
        <is>
          <t>Consignment Tracker — Who Has What</t>
        </is>
      </c>
    </row>
    <row r="3" ht="15" customHeight="1" s="58">
      <c r="A3" s="67" t="inlineStr">
        <is>
          <t>Friend / Seller</t>
        </is>
      </c>
      <c r="B3" s="67" t="inlineStr">
        <is>
          <t>Glosses Given</t>
        </is>
      </c>
      <c r="C3" s="67" t="inlineStr">
        <is>
          <t>Glosses Sold</t>
        </is>
      </c>
      <c r="D3" s="67" t="inlineStr">
        <is>
          <t>Still Has</t>
        </is>
      </c>
      <c r="E3" s="67" t="inlineStr">
        <is>
          <t>You Collect/ea ($)</t>
        </is>
      </c>
      <c r="F3" s="67" t="inlineStr">
        <is>
          <t>They Owe You ($)</t>
        </is>
      </c>
    </row>
    <row r="4" ht="15" customHeight="1" s="58">
      <c r="A4" s="101" t="inlineStr">
        <is>
          <t>Example: Sarah</t>
        </is>
      </c>
      <c r="B4" s="102" t="n">
        <v>20</v>
      </c>
      <c r="C4" s="102" t="n">
        <v>14</v>
      </c>
      <c r="D4" s="69">
        <f>IF(B4="","",B4-C4)</f>
        <v/>
      </c>
      <c r="E4" s="70" t="n">
        <v>5</v>
      </c>
      <c r="F4" s="89">
        <f>IF(C4="","",C4*E4)</f>
        <v/>
      </c>
    </row>
    <row r="5" ht="15" customHeight="1" s="58">
      <c r="A5" s="103" t="n"/>
      <c r="B5" s="102" t="n"/>
      <c r="C5" s="102" t="n"/>
      <c r="D5" s="69">
        <f>IF(B5="","",B5-C5)</f>
        <v/>
      </c>
      <c r="E5" s="70" t="n">
        <v>5</v>
      </c>
      <c r="F5" s="89">
        <f>IF(C5="","",C5*E5)</f>
        <v/>
      </c>
    </row>
    <row r="6" ht="15" customHeight="1" s="58">
      <c r="A6" s="103" t="n"/>
      <c r="B6" s="102" t="n"/>
      <c r="C6" s="102" t="n"/>
      <c r="D6" s="69">
        <f>IF(B6="","",B6-C6)</f>
        <v/>
      </c>
      <c r="E6" s="70" t="n">
        <v>5</v>
      </c>
      <c r="F6" s="89">
        <f>IF(C6="","",C6*E6)</f>
        <v/>
      </c>
    </row>
    <row r="7" ht="15" customHeight="1" s="58">
      <c r="A7" s="103" t="n"/>
      <c r="B7" s="102" t="n"/>
      <c r="C7" s="102" t="n"/>
      <c r="D7" s="69">
        <f>IF(B7="","",B7-C7)</f>
        <v/>
      </c>
      <c r="E7" s="70" t="n">
        <v>5</v>
      </c>
      <c r="F7" s="89">
        <f>IF(C7="","",C7*E7)</f>
        <v/>
      </c>
    </row>
    <row r="8" ht="15" customHeight="1" s="58">
      <c r="A8" s="103" t="n"/>
      <c r="B8" s="102" t="n"/>
      <c r="C8" s="102" t="n"/>
      <c r="D8" s="69">
        <f>IF(B8="","",B8-C8)</f>
        <v/>
      </c>
      <c r="E8" s="70" t="n">
        <v>5</v>
      </c>
      <c r="F8" s="89">
        <f>IF(C8="","",C8*E8)</f>
        <v/>
      </c>
    </row>
    <row r="9" ht="15" customHeight="1" s="58">
      <c r="A9" s="84" t="inlineStr">
        <is>
          <t>TOTAL OWED</t>
        </is>
      </c>
      <c r="F9" s="78">
        <f>SUM(F4:F8)</f>
        <v/>
      </c>
    </row>
    <row r="11" ht="15" customHeight="1" s="58">
      <c r="A11" s="79" t="inlineStr">
        <is>
          <t>Blue/yellow cells = type in. "Still Has" and "They Owe You" calculate automatically.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57" min="1" max="1"/>
    <col width="28" customWidth="1" style="57" min="2" max="3"/>
    <col width="16" customWidth="1" style="57" min="4" max="4"/>
    <col width="14" customWidth="1" style="57" min="5" max="6"/>
    <col width="22" customWidth="1" style="57" min="7" max="7"/>
  </cols>
  <sheetData>
    <row r="1" ht="27.75" customHeight="1" s="58">
      <c r="A1" s="104" t="inlineStr">
        <is>
          <t>Glimmer Bliss — Container Sourcing Guide</t>
        </is>
      </c>
    </row>
    <row r="2" ht="18" customHeight="1" s="58">
      <c r="A2" s="105" t="inlineStr">
        <is>
          <t>TIP: Order 10–20 samples from 2–3 styles before committing to your full run of 200. Fill them, label them, and pick the winner.</t>
        </is>
      </c>
    </row>
    <row r="3" ht="19.5" customHeight="1" s="58">
      <c r="A3" s="86" t="inlineStr">
        <is>
          <t>SECTION 1 — Where to Buy (Supplier Comparison)</t>
        </is>
      </c>
    </row>
    <row r="4" ht="15" customHeight="1" s="58">
      <c r="A4" s="106" t="inlineStr">
        <is>
          <t>Supplier</t>
        </is>
      </c>
      <c r="B4" s="106" t="inlineStr">
        <is>
          <t>Website</t>
        </is>
      </c>
      <c r="C4" s="106" t="inlineStr">
        <is>
          <t>Min. Order</t>
        </is>
      </c>
      <c r="D4" s="106" t="inlineStr">
        <is>
          <t>Price Range</t>
        </is>
      </c>
      <c r="E4" s="106" t="inlineStr">
        <is>
          <t>Best For</t>
        </is>
      </c>
      <c r="F4" s="106" t="inlineStr">
        <is>
          <t>Ships From</t>
        </is>
      </c>
      <c r="G4" s="106" t="inlineStr">
        <is>
          <t>Notes</t>
        </is>
      </c>
    </row>
    <row r="5" ht="34.5" customHeight="1" s="58">
      <c r="A5" s="107" t="inlineStr">
        <is>
          <t>Cosmetic Packaging Now</t>
        </is>
      </c>
      <c r="B5" s="74" t="inlineStr">
        <is>
          <t>cosmeticpackagingnow.com</t>
        </is>
      </c>
      <c r="C5" s="108" t="inlineStr">
        <is>
          <t>No minimum</t>
        </is>
      </c>
      <c r="D5" s="108" t="inlineStr">
        <is>
          <t>$0.40–0.80 ea</t>
        </is>
      </c>
      <c r="E5" s="107" t="inlineStr">
        <is>
          <t>Best for small batches + style variety</t>
        </is>
      </c>
      <c r="F5" s="108" t="inlineStr">
        <is>
          <t>USA</t>
        </is>
      </c>
      <c r="G5" s="107" t="inlineStr">
        <is>
          <t>Fast US shipping, wide style range. Best starting point.</t>
        </is>
      </c>
    </row>
    <row r="6" ht="34.5" customHeight="1" s="58">
      <c r="A6" s="107" t="inlineStr">
        <is>
          <t>Wholesale Supplies Plus</t>
        </is>
      </c>
      <c r="B6" s="74" t="inlineStr">
        <is>
          <t>wholesalesuppliesplus.com</t>
        </is>
      </c>
      <c r="C6" s="108" t="inlineStr">
        <is>
          <t>1 unit</t>
        </is>
      </c>
      <c r="D6" s="108" t="inlineStr">
        <is>
          <t>$0.35–0.70 ea</t>
        </is>
      </c>
      <c r="E6" s="107" t="inlineStr">
        <is>
          <t>Bundle with base/supply order</t>
        </is>
      </c>
      <c r="F6" s="108" t="inlineStr">
        <is>
          <t>USA</t>
        </is>
      </c>
      <c r="G6" s="107" t="inlineStr">
        <is>
          <t>Already on your shopping list. Convenient to combine orders.</t>
        </is>
      </c>
    </row>
    <row r="7" ht="34.5" customHeight="1" s="58">
      <c r="A7" s="107" t="inlineStr">
        <is>
          <t>TKB Trading</t>
        </is>
      </c>
      <c r="B7" s="74" t="inlineStr">
        <is>
          <t>tkbtrading.com</t>
        </is>
      </c>
      <c r="C7" s="108" t="inlineStr">
        <is>
          <t>1 unit</t>
        </is>
      </c>
      <c r="D7" s="108" t="inlineStr">
        <is>
          <t>$0.40–0.75 ea</t>
        </is>
      </c>
      <c r="E7" s="107" t="inlineStr">
        <is>
          <t>Keeping everything in one order</t>
        </is>
      </c>
      <c r="F7" s="108" t="inlineStr">
        <is>
          <t>USA</t>
        </is>
      </c>
      <c r="G7" s="109" t="inlineStr">
        <is>
          <t>★ CONFIRMED — 5ml White Square, Wide Wand. $56.50/60 = $0.94/tube. Email for bulk deal on 200+.</t>
        </is>
      </c>
    </row>
    <row r="8" ht="34.5" customHeight="1" s="58">
      <c r="A8" s="68" t="inlineStr">
        <is>
          <t>SKS Bottle &amp; Packaging</t>
        </is>
      </c>
      <c r="B8" s="110" t="inlineStr">
        <is>
          <t>sks-bottle.com</t>
        </is>
      </c>
      <c r="C8" s="111" t="inlineStr">
        <is>
          <t>Low</t>
        </is>
      </c>
      <c r="D8" s="111" t="inlineStr">
        <is>
          <t>$0.35–0.65 ea</t>
        </is>
      </c>
      <c r="E8" s="68" t="inlineStr">
        <is>
          <t>Premium/thick-walled tubes &amp; glass</t>
        </is>
      </c>
      <c r="F8" s="111" t="inlineStr">
        <is>
          <t>USA</t>
        </is>
      </c>
      <c r="G8" s="68" t="inlineStr">
        <is>
          <t>Great for a luxury look. Glass options available.</t>
        </is>
      </c>
    </row>
    <row r="9" ht="34.5" customHeight="1" s="58">
      <c r="A9" s="68" t="inlineStr">
        <is>
          <t>Impacked Packaging</t>
        </is>
      </c>
      <c r="B9" s="110" t="inlineStr">
        <is>
          <t>impackedpackaging.com</t>
        </is>
      </c>
      <c r="C9" s="111" t="inlineStr">
        <is>
          <t>Low–Med</t>
        </is>
      </c>
      <c r="D9" s="111" t="inlineStr">
        <is>
          <t>$0.40–0.90 ea</t>
        </is>
      </c>
      <c r="E9" s="68" t="inlineStr">
        <is>
          <t>Vetted quality, unique shapes</t>
        </is>
      </c>
      <c r="F9" s="111" t="inlineStr">
        <is>
          <t>USA</t>
        </is>
      </c>
      <c r="G9" s="68" t="inlineStr">
        <is>
          <t>Square, round, chubby styles. Vetted suppliers = more reliable.</t>
        </is>
      </c>
    </row>
    <row r="10" ht="34.5" customHeight="1" s="58">
      <c r="A10" s="68" t="inlineStr">
        <is>
          <t>Alibaba</t>
        </is>
      </c>
      <c r="B10" s="110" t="inlineStr">
        <is>
          <t>alibaba.com</t>
        </is>
      </c>
      <c r="C10" s="111" t="inlineStr">
        <is>
          <t>100–500/style</t>
        </is>
      </c>
      <c r="D10" s="111" t="inlineStr">
        <is>
          <t>$0.09–0.35 ea</t>
        </is>
      </c>
      <c r="E10" s="68" t="inlineStr">
        <is>
          <t>Best price, high volume (2nd run)</t>
        </is>
      </c>
      <c r="F10" s="111" t="inlineStr">
        <is>
          <t>China (2–4wk)</t>
        </is>
      </c>
      <c r="G10" s="68" t="inlineStr">
        <is>
          <t>Lowest cost but high MOQ. Best once you know your winning style.</t>
        </is>
      </c>
    </row>
    <row r="11" ht="15" customHeight="1" s="58">
      <c r="A11" s="79" t="inlineStr">
        <is>
          <t>Green rows = recommended first-order suppliers</t>
        </is>
      </c>
    </row>
    <row r="13" ht="19.5" customHeight="1" s="58">
      <c r="A13" s="86" t="inlineStr">
        <is>
          <t>SECTION 2 — Tube Style Guide (Which Look is Right?)</t>
        </is>
      </c>
    </row>
    <row r="14" ht="15" customHeight="1" s="58">
      <c r="A14" s="106" t="inlineStr">
        <is>
          <t>Style</t>
        </is>
      </c>
      <c r="B14" s="106" t="inlineStr">
        <is>
          <t>Look &amp; Feel</t>
        </is>
      </c>
      <c r="C14" s="106" t="inlineStr">
        <is>
          <t>Best Match for Glimmer Bliss</t>
        </is>
      </c>
      <c r="D14" s="106" t="inlineStr">
        <is>
          <t>Label Friendly?</t>
        </is>
      </c>
      <c r="E14" s="106" t="inlineStr">
        <is>
          <t>Fill Difficulty</t>
        </is>
      </c>
      <c r="F14" s="106" t="inlineStr">
        <is>
          <t>Est. Cost ea</t>
        </is>
      </c>
      <c r="G14" s="106" t="inlineStr">
        <is>
          <t>Recommended?</t>
        </is>
      </c>
    </row>
    <row r="15" ht="23.25" customHeight="1" s="58">
      <c r="A15" s="68" t="inlineStr">
        <is>
          <t>Classic Doe-Foot Wand</t>
        </is>
      </c>
      <c r="B15" s="68" t="inlineStr">
        <is>
          <t>Standard clear tube with wand applicator</t>
        </is>
      </c>
      <c r="C15" s="68" t="inlineStr">
        <is>
          <t>Safe, familiar, easy to sell</t>
        </is>
      </c>
      <c r="D15" s="111" t="inlineStr">
        <is>
          <t>Yes — wrap label</t>
        </is>
      </c>
      <c r="E15" s="111" t="inlineStr">
        <is>
          <t>Easy</t>
        </is>
      </c>
      <c r="F15" s="111" t="inlineStr">
        <is>
          <t>$0.35–0.55</t>
        </is>
      </c>
      <c r="G15" s="111" t="inlineStr">
        <is>
          <t>✓ Good starter</t>
        </is>
      </c>
    </row>
    <row r="16" ht="23.25" customHeight="1" s="58">
      <c r="A16" s="68" t="inlineStr">
        <is>
          <t>Clear Tube (thin)</t>
        </is>
      </c>
      <c r="B16" s="68" t="inlineStr">
        <is>
          <t>Fully see-through, shows gloss color</t>
        </is>
      </c>
      <c r="C16" s="68" t="inlineStr">
        <is>
          <t>Great — shimmer/glitter shows through</t>
        </is>
      </c>
      <c r="D16" s="111" t="inlineStr">
        <is>
          <t>Yes — wrap label</t>
        </is>
      </c>
      <c r="E16" s="111" t="inlineStr">
        <is>
          <t>Easy</t>
        </is>
      </c>
      <c r="F16" s="111" t="inlineStr">
        <is>
          <t>$0.30–0.50</t>
        </is>
      </c>
      <c r="G16" s="111" t="inlineStr">
        <is>
          <t>✓ Recommended</t>
        </is>
      </c>
    </row>
    <row r="17" ht="23.25" customHeight="1" s="58">
      <c r="A17" s="72" t="inlineStr">
        <is>
          <t>Frosted Tube</t>
        </is>
      </c>
      <c r="B17" s="72" t="inlineStr">
        <is>
          <t>Soft matte finish, pastel/aesthetic look</t>
        </is>
      </c>
      <c r="C17" s="72" t="inlineStr">
        <is>
          <t>Excellent — matches Glimmer Bliss vibe</t>
        </is>
      </c>
      <c r="D17" s="112" t="inlineStr">
        <is>
          <t>Yes — wrap label</t>
        </is>
      </c>
      <c r="E17" s="112" t="inlineStr">
        <is>
          <t>Easy</t>
        </is>
      </c>
      <c r="F17" s="112" t="inlineStr">
        <is>
          <t>$0.40–0.65</t>
        </is>
      </c>
      <c r="G17" s="112" t="inlineStr">
        <is>
          <t>★ Top Pick</t>
        </is>
      </c>
    </row>
    <row r="18" ht="15" customHeight="1" s="58">
      <c r="A18" s="68" t="inlineStr">
        <is>
          <t>Chubby / Square Tube</t>
        </is>
      </c>
      <c r="B18" s="68" t="inlineStr">
        <is>
          <t>Chunky, modern, trendy shape</t>
        </is>
      </c>
      <c r="C18" s="68" t="inlineStr">
        <is>
          <t>Eye-catching on booth display</t>
        </is>
      </c>
      <c r="D18" s="111" t="inlineStr">
        <is>
          <t>Yes — flat label</t>
        </is>
      </c>
      <c r="E18" s="111" t="inlineStr">
        <is>
          <t>Easy</t>
        </is>
      </c>
      <c r="F18" s="111" t="inlineStr">
        <is>
          <t>$0.45–0.70</t>
        </is>
      </c>
      <c r="G18" s="111" t="inlineStr">
        <is>
          <t>✓ Recommended</t>
        </is>
      </c>
    </row>
    <row r="19" ht="23.25" customHeight="1" s="58">
      <c r="A19" s="68" t="inlineStr">
        <is>
          <t>Oval Flat Tube</t>
        </is>
      </c>
      <c r="B19" s="68" t="inlineStr">
        <is>
          <t>Sleek, slim, purse-friendly</t>
        </is>
      </c>
      <c r="C19" s="68" t="inlineStr">
        <is>
          <t>Premium feel, easy to label flat side</t>
        </is>
      </c>
      <c r="D19" s="111" t="inlineStr">
        <is>
          <t>Yes — flat label</t>
        </is>
      </c>
      <c r="E19" s="111" t="inlineStr">
        <is>
          <t>Easy</t>
        </is>
      </c>
      <c r="F19" s="111" t="inlineStr">
        <is>
          <t>$0.45–0.75</t>
        </is>
      </c>
      <c r="G19" s="111" t="inlineStr">
        <is>
          <t>✓ Good option</t>
        </is>
      </c>
    </row>
    <row r="20" ht="15" customHeight="1" s="58">
      <c r="A20" s="68" t="inlineStr">
        <is>
          <t>Glass Roller Tube</t>
        </is>
      </c>
      <c r="B20" s="68" t="inlineStr">
        <is>
          <t>Luxury look, heavier</t>
        </is>
      </c>
      <c r="C20" s="68" t="inlineStr">
        <is>
          <t>Premium tier pricing justified</t>
        </is>
      </c>
      <c r="D20" s="111" t="inlineStr">
        <is>
          <t>Yes — wrap label</t>
        </is>
      </c>
      <c r="E20" s="111" t="inlineStr">
        <is>
          <t>Moderate</t>
        </is>
      </c>
      <c r="F20" s="111" t="inlineStr">
        <is>
          <t>$0.80–1.50</t>
        </is>
      </c>
      <c r="G20" s="111" t="inlineStr">
        <is>
          <t>Consider for premium line</t>
        </is>
      </c>
    </row>
    <row r="21" ht="23.25" customHeight="1" s="58">
      <c r="A21" s="68" t="inlineStr">
        <is>
          <t>LED Mirror Tube</t>
        </is>
      </c>
      <c r="B21" s="68" t="inlineStr">
        <is>
          <t>Has small mirror + light built in</t>
        </is>
      </c>
      <c r="C21" s="68" t="inlineStr">
        <is>
          <t>Fun for tweens, high wow factor</t>
        </is>
      </c>
      <c r="D21" s="111" t="inlineStr">
        <is>
          <t>Limited</t>
        </is>
      </c>
      <c r="E21" s="111" t="inlineStr">
        <is>
          <t>Moderate</t>
        </is>
      </c>
      <c r="F21" s="111" t="inlineStr">
        <is>
          <t>$1.50–3.00</t>
        </is>
      </c>
      <c r="G21" s="111" t="inlineStr">
        <is>
          <t>Consider as premium upsell</t>
        </is>
      </c>
    </row>
    <row r="23" ht="18" customHeight="1" s="58">
      <c r="A23" s="113" t="inlineStr">
        <is>
          <t>★ TOP PICK: Frosted tube with wrap-around label = clean, aesthetic, professional. Shimmer gloss inside a frosted tube looks premium at any price point.</t>
        </is>
      </c>
    </row>
  </sheetData>
  <mergeCells count="6">
    <mergeCell ref="A13:G13"/>
    <mergeCell ref="A1:G1"/>
    <mergeCell ref="A3:G3"/>
    <mergeCell ref="A2:G2"/>
    <mergeCell ref="A11:G11"/>
    <mergeCell ref="A23:G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2026-05-30T16:14:51Z</dcterms:created>
  <dcterms:modified xmlns:dcterms="http://purl.org/dc/terms/" xmlns:xsi="http://www.w3.org/2001/XMLSchema-instance" xsi:type="dcterms:W3CDTF">2026-05-30T21:04:09Z</dcterms:modified>
  <cp:revision>0</cp:revision>
</cp:coreProperties>
</file>